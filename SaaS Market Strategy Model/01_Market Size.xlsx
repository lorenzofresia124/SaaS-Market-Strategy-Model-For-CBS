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13_ncr:1_{11418018-3E1E-41BD-8389-5E9130E0457A}" xr6:coauthVersionLast="47" xr6:coauthVersionMax="47" xr10:uidLastSave="{00000000-0000-0000-0000-000000000000}"/>
  <bookViews>
    <workbookView xWindow="-108" yWindow="-108" windowWidth="23256" windowHeight="12456" xr2:uid="{2CC45603-FF9A-4927-B7DD-B2397C6DA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/>
  <c r="D7" i="1"/>
  <c r="G7" i="1" l="1"/>
</calcChain>
</file>

<file path=xl/sharedStrings.xml><?xml version="1.0" encoding="utf-8"?>
<sst xmlns="http://schemas.openxmlformats.org/spreadsheetml/2006/main" count="36" uniqueCount="31">
  <si>
    <t>Variable</t>
  </si>
  <si>
    <t>Value</t>
  </si>
  <si>
    <t>INPUTS</t>
  </si>
  <si>
    <t>Potential users (Europe)</t>
  </si>
  <si>
    <t>Monthly Subscription Price</t>
  </si>
  <si>
    <t>Annual Price</t>
  </si>
  <si>
    <t>Metric</t>
  </si>
  <si>
    <t>Formula</t>
  </si>
  <si>
    <t>TAM</t>
  </si>
  <si>
    <t>SAM</t>
  </si>
  <si>
    <t>SOM</t>
  </si>
  <si>
    <t>Segment</t>
  </si>
  <si>
    <t>Share</t>
  </si>
  <si>
    <t>Freelancers</t>
  </si>
  <si>
    <t>Small Teams</t>
  </si>
  <si>
    <t>Startups</t>
  </si>
  <si>
    <t>Assuptions</t>
  </si>
  <si>
    <t>Target Region</t>
  </si>
  <si>
    <t>Europe</t>
  </si>
  <si>
    <t>Business Model</t>
  </si>
  <si>
    <t>Subscription Saas</t>
  </si>
  <si>
    <t>Target Segment</t>
  </si>
  <si>
    <t>Pricing Strategy</t>
  </si>
  <si>
    <t>Affordable Saas</t>
  </si>
  <si>
    <t xml:space="preserve">Market Level </t>
  </si>
  <si>
    <t>Value (M DKK)</t>
  </si>
  <si>
    <t>MARKET SEGMENTATION</t>
  </si>
  <si>
    <t>MARKET SIZE</t>
  </si>
  <si>
    <t>KEY ASSUPTIONS</t>
  </si>
  <si>
    <t>METRICS FOR TABLE</t>
  </si>
  <si>
    <t>Digital Productivity SaaS Market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</si>
</sst>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DKK]\ * #,##0.00_-;\-[$DKK]\ * #,##0.00_-;_-[$DKK]\ * &quot;-&quot;??_-;_-@_-"/>
    <numFmt numFmtId="168" formatCode="_-[$DKK]\ * #,##0_-;\-[$DKK]\ * #,##0_-;_-[$DKK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168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</a:t>
            </a:r>
            <a:r>
              <a:rPr lang="en-GB" baseline="0"/>
              <a:t> Opportunity</a:t>
            </a:r>
            <a:r>
              <a:rPr lang="en-GB"/>
              <a:t> (M DKK)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Value (M DKK)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F0-4800-8E74-6FA7595869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F0-4800-8E74-6FA7595869A7}"/>
              </c:ext>
            </c:extLst>
          </c:dPt>
          <c:cat>
            <c:strRef>
              <c:f>Sheet1!$C$18:$C$20</c:f>
              <c:strCache>
                <c:ptCount val="3"/>
                <c:pt idx="0">
                  <c:v>TAM</c:v>
                </c:pt>
                <c:pt idx="1">
                  <c:v>SAM</c:v>
                </c:pt>
                <c:pt idx="2">
                  <c:v>SOM</c:v>
                </c:pt>
              </c:strCache>
            </c:strRef>
          </c:cat>
          <c:val>
            <c:numRef>
              <c:f>Sheet1!$D$18:$D$20</c:f>
              <c:numCache>
                <c:formatCode>_-[$DKK]\ * #,##0.00_-;\-[$DKK]\ * #,##0.00_-;_-[$DKK]\ * "-"??_-;_-@_-</c:formatCode>
                <c:ptCount val="3"/>
                <c:pt idx="0" formatCode="_-[$DKK]\ * #,##0_-;\-[$DKK]\ * #,##0_-;_-[$DKK]\ * &quot;-&quot;??_-;_-@_-">
                  <c:v>1896</c:v>
                </c:pt>
                <c:pt idx="1">
                  <c:v>568.79999999999995</c:v>
                </c:pt>
                <c:pt idx="2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0-4800-8E74-6FA759586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970624"/>
        <c:axId val="856972288"/>
      </c:barChart>
      <c:catAx>
        <c:axId val="8569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72288"/>
        <c:crosses val="autoZero"/>
        <c:auto val="1"/>
        <c:lblAlgn val="ctr"/>
        <c:lblOffset val="100"/>
        <c:noMultiLvlLbl val="0"/>
      </c:catAx>
      <c:valAx>
        <c:axId val="8569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DKK]\ * #,##0_-;\-[$DKK]\ * #,##0_-;_-[$DKK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7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1</xdr:row>
      <xdr:rowOff>163830</xdr:rowOff>
    </xdr:from>
    <xdr:to>
      <xdr:col>14</xdr:col>
      <xdr:colOff>198120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C2AAB-43B8-4E6C-8B12-26B2947BF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B0E7-EBE9-4320-A683-774198AAB2A0}">
  <dimension ref="A1:P20"/>
  <sheetViews>
    <sheetView showGridLines="0" tabSelected="1" workbookViewId="0">
      <selection activeCell="G19" sqref="G19"/>
    </sheetView>
  </sheetViews>
  <sheetFormatPr defaultRowHeight="14.4" x14ac:dyDescent="0.3"/>
  <cols>
    <col min="3" max="3" width="24" customWidth="1"/>
    <col min="4" max="4" width="13.21875" customWidth="1"/>
    <col min="6" max="6" width="17.44140625" customWidth="1"/>
    <col min="7" max="7" width="21.5546875" customWidth="1"/>
    <col min="9" max="9" width="13.5546875" customWidth="1"/>
    <col min="10" max="10" width="14.33203125" customWidth="1"/>
  </cols>
  <sheetData>
    <row r="1" spans="1:16" ht="21" customHeight="1" x14ac:dyDescent="0.4">
      <c r="A1" s="2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3">
      <c r="C3" s="7" t="s">
        <v>2</v>
      </c>
      <c r="D3" s="7"/>
      <c r="F3" s="7" t="s">
        <v>27</v>
      </c>
      <c r="G3" s="7"/>
    </row>
    <row r="4" spans="1:16" x14ac:dyDescent="0.3">
      <c r="C4" s="8" t="s">
        <v>0</v>
      </c>
      <c r="D4" s="8" t="s">
        <v>1</v>
      </c>
      <c r="F4" s="8" t="s">
        <v>6</v>
      </c>
      <c r="G4" s="8" t="s">
        <v>7</v>
      </c>
    </row>
    <row r="5" spans="1:16" x14ac:dyDescent="0.3">
      <c r="C5" s="3" t="s">
        <v>3</v>
      </c>
      <c r="D5" s="3">
        <v>2000000</v>
      </c>
      <c r="F5" s="3" t="s">
        <v>8</v>
      </c>
      <c r="G5" s="6">
        <f>(D7*D5)</f>
        <v>1896000000</v>
      </c>
    </row>
    <row r="6" spans="1:16" x14ac:dyDescent="0.3">
      <c r="C6" s="3" t="s">
        <v>4</v>
      </c>
      <c r="D6" s="3">
        <v>79</v>
      </c>
      <c r="F6" s="3" t="s">
        <v>9</v>
      </c>
      <c r="G6" s="6">
        <f>G5*0.3</f>
        <v>568800000</v>
      </c>
    </row>
    <row r="7" spans="1:16" x14ac:dyDescent="0.3">
      <c r="C7" s="3" t="s">
        <v>5</v>
      </c>
      <c r="D7" s="3">
        <f>(D6 * 12)</f>
        <v>948</v>
      </c>
      <c r="F7" s="3" t="s">
        <v>10</v>
      </c>
      <c r="G7" s="6">
        <f>(G5*1%)</f>
        <v>18960000</v>
      </c>
    </row>
    <row r="9" spans="1:16" x14ac:dyDescent="0.3">
      <c r="C9" s="7" t="s">
        <v>26</v>
      </c>
      <c r="D9" s="7"/>
      <c r="F9" s="7" t="s">
        <v>28</v>
      </c>
      <c r="G9" s="7"/>
    </row>
    <row r="10" spans="1:16" x14ac:dyDescent="0.3">
      <c r="C10" s="8" t="s">
        <v>11</v>
      </c>
      <c r="D10" s="8" t="s">
        <v>12</v>
      </c>
      <c r="F10" s="8" t="s">
        <v>16</v>
      </c>
      <c r="G10" s="8" t="s">
        <v>1</v>
      </c>
    </row>
    <row r="11" spans="1:16" x14ac:dyDescent="0.3">
      <c r="C11" s="3" t="s">
        <v>13</v>
      </c>
      <c r="D11" s="5">
        <v>0.4</v>
      </c>
      <c r="F11" s="3" t="s">
        <v>17</v>
      </c>
      <c r="G11" s="3" t="s">
        <v>18</v>
      </c>
    </row>
    <row r="12" spans="1:16" x14ac:dyDescent="0.3">
      <c r="C12" s="3" t="s">
        <v>14</v>
      </c>
      <c r="D12" s="5">
        <v>0.45</v>
      </c>
      <c r="F12" s="3" t="s">
        <v>19</v>
      </c>
      <c r="G12" s="3" t="s">
        <v>20</v>
      </c>
    </row>
    <row r="13" spans="1:16" x14ac:dyDescent="0.3">
      <c r="C13" s="3" t="s">
        <v>15</v>
      </c>
      <c r="D13" s="5">
        <v>0.15</v>
      </c>
      <c r="F13" s="3" t="s">
        <v>21</v>
      </c>
      <c r="G13" s="3" t="s">
        <v>14</v>
      </c>
    </row>
    <row r="14" spans="1:16" x14ac:dyDescent="0.3">
      <c r="F14" s="3" t="s">
        <v>22</v>
      </c>
      <c r="G14" s="3" t="s">
        <v>23</v>
      </c>
    </row>
    <row r="16" spans="1:16" x14ac:dyDescent="0.3">
      <c r="C16" s="7" t="s">
        <v>29</v>
      </c>
      <c r="D16" s="7"/>
    </row>
    <row r="17" spans="3:4" x14ac:dyDescent="0.3">
      <c r="C17" s="8" t="s">
        <v>24</v>
      </c>
      <c r="D17" s="8" t="s">
        <v>25</v>
      </c>
    </row>
    <row r="18" spans="3:4" x14ac:dyDescent="0.3">
      <c r="C18" s="3" t="s">
        <v>8</v>
      </c>
      <c r="D18" s="6">
        <v>1896</v>
      </c>
    </row>
    <row r="19" spans="3:4" x14ac:dyDescent="0.3">
      <c r="C19" s="3" t="s">
        <v>9</v>
      </c>
      <c r="D19" s="4">
        <v>568.79999999999995</v>
      </c>
    </row>
    <row r="20" spans="3:4" x14ac:dyDescent="0.3">
      <c r="C20" s="3" t="s">
        <v>10</v>
      </c>
      <c r="D20" s="4">
        <v>18.96</v>
      </c>
    </row>
  </sheetData>
  <mergeCells count="6">
    <mergeCell ref="A1:P1"/>
    <mergeCell ref="C3:D3"/>
    <mergeCell ref="F3:G3"/>
    <mergeCell ref="C9:D9"/>
    <mergeCell ref="F9:G9"/>
    <mergeCell ref="C16:D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2026-03-05T00:58:10Z</dcterms:created>
  <dcterms:modified xsi:type="dcterms:W3CDTF">2026-03-05T03:01:17Z</dcterms:modified>
</cp:coreProperties>
</file>