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\Desktop\PROGETTO 2\"/>
    </mc:Choice>
  </mc:AlternateContent>
  <xr:revisionPtr revIDLastSave="0" documentId="13_ncr:1_{6DE2955E-D9FA-492E-A3B2-29B3854AA15E}" xr6:coauthVersionLast="47" xr6:coauthVersionMax="47" xr10:uidLastSave="{00000000-0000-0000-0000-000000000000}"/>
  <bookViews>
    <workbookView xWindow="-108" yWindow="-108" windowWidth="23256" windowHeight="12456" xr2:uid="{878B75B6-2963-44F9-8D29-0DCA8207D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1" l="1"/>
  <c r="J8" i="1"/>
  <c r="K8" i="1" s="1"/>
  <c r="L8" i="1" s="1"/>
  <c r="J7" i="1"/>
  <c r="K7" i="1" s="1"/>
  <c r="L7" i="1" s="1"/>
  <c r="J9" i="1"/>
  <c r="K9" i="1" s="1"/>
  <c r="L9" i="1" s="1"/>
  <c r="J6" i="1"/>
  <c r="K6" i="1" s="1"/>
  <c r="L6" i="1" s="1"/>
  <c r="G7" i="1"/>
  <c r="G6" i="1"/>
</calcChain>
</file>

<file path=xl/sharedStrings.xml><?xml version="1.0" encoding="utf-8"?>
<sst xmlns="http://schemas.openxmlformats.org/spreadsheetml/2006/main" count="21" uniqueCount="19">
  <si>
    <t>IMPUT</t>
  </si>
  <si>
    <t>Market Size (Users)</t>
  </si>
  <si>
    <t>Variable</t>
  </si>
  <si>
    <t>Value</t>
  </si>
  <si>
    <t>Monthly Price</t>
  </si>
  <si>
    <t>Metric</t>
  </si>
  <si>
    <t>Formula</t>
  </si>
  <si>
    <t>Potential Customers</t>
  </si>
  <si>
    <t>REVENUE</t>
  </si>
  <si>
    <t>Monthly Revenue</t>
  </si>
  <si>
    <t>Annual Revenue</t>
  </si>
  <si>
    <t>Market share</t>
  </si>
  <si>
    <t>Users</t>
  </si>
  <si>
    <t xml:space="preserve">Monthly Revenue </t>
  </si>
  <si>
    <t>SCENARIO TABLE</t>
  </si>
  <si>
    <t>METRICS</t>
  </si>
  <si>
    <t>Result</t>
  </si>
  <si>
    <t>Revenue Scenario Analysis</t>
  </si>
  <si>
    <t>Market share Scenario (Selectable)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</si>
</sst>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9" fontId="0" fillId="0" borderId="1" xfId="2" applyFont="1" applyBorder="1"/>
    <xf numFmtId="10" fontId="0" fillId="0" borderId="1" xfId="2" applyNumberFormat="1" applyFont="1" applyBorder="1"/>
    <xf numFmtId="43" fontId="0" fillId="0" borderId="1" xfId="1" applyFont="1" applyBorder="1"/>
    <xf numFmtId="164" fontId="0" fillId="0" borderId="1" xfId="1" applyNumberFormat="1" applyFont="1" applyBorder="1"/>
    <xf numFmtId="0" fontId="3" fillId="0" borderId="1" xfId="0" applyFont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Sheet1!$L$5</c:f>
              <c:strCache>
                <c:ptCount val="1"/>
                <c:pt idx="0">
                  <c:v>Annual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CF7-4ED2-BBFF-43707C9A94EE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CF7-4ED2-BBFF-43707C9A94E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CF7-4ED2-BBFF-43707C9A94E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CF7-4ED2-BBFF-43707C9A94EE}"/>
              </c:ext>
            </c:extLst>
          </c:dPt>
          <c:cat>
            <c:numRef>
              <c:f>Sheet1!$I$6:$I$9</c:f>
              <c:numCache>
                <c:formatCode>0%</c:formatCode>
                <c:ptCount val="4"/>
                <c:pt idx="0" formatCode="0.00%">
                  <c:v>5.0000000000000001E-3</c:v>
                </c:pt>
                <c:pt idx="1">
                  <c:v>0.01</c:v>
                </c:pt>
                <c:pt idx="2">
                  <c:v>0.03</c:v>
                </c:pt>
                <c:pt idx="3">
                  <c:v>0.05</c:v>
                </c:pt>
              </c:numCache>
            </c:numRef>
          </c:cat>
          <c:val>
            <c:numRef>
              <c:f>Sheet1!$L$6:$L$9</c:f>
              <c:numCache>
                <c:formatCode>_-* #,##0_-;\-* #,##0_-;_-* "-"??_-;_-@_-</c:formatCode>
                <c:ptCount val="4"/>
                <c:pt idx="0">
                  <c:v>9480000</c:v>
                </c:pt>
                <c:pt idx="1">
                  <c:v>18960000</c:v>
                </c:pt>
                <c:pt idx="2">
                  <c:v>56880000</c:v>
                </c:pt>
                <c:pt idx="3">
                  <c:v>94800000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F7-4ED2-BBFF-43707C9A9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7894320"/>
        <c:axId val="847893072"/>
      </c:barChart>
      <c:catAx>
        <c:axId val="847894320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893072"/>
        <c:crosses val="autoZero"/>
        <c:auto val="1"/>
        <c:lblAlgn val="ctr"/>
        <c:lblOffset val="100"/>
        <c:noMultiLvlLbl val="0"/>
      </c:catAx>
      <c:valAx>
        <c:axId val="84789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89432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9</xdr:row>
      <xdr:rowOff>171450</xdr:rowOff>
    </xdr:from>
    <xdr:to>
      <xdr:col>10</xdr:col>
      <xdr:colOff>868680</xdr:colOff>
      <xdr:row>24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B78932-D4CD-4E25-9D4C-06D756981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8530-D05F-4728-A464-CD567BC6FD0F}">
  <dimension ref="C1:L13"/>
  <sheetViews>
    <sheetView showGridLines="0" tabSelected="1" workbookViewId="0">
      <selection activeCell="D8" sqref="D8"/>
    </sheetView>
  </sheetViews>
  <sheetFormatPr defaultRowHeight="14.4" x14ac:dyDescent="0.3"/>
  <cols>
    <col min="3" max="3" width="28.88671875" customWidth="1"/>
    <col min="4" max="4" width="17.44140625" customWidth="1"/>
    <col min="5" max="5" width="13.6640625" customWidth="1"/>
    <col min="6" max="6" width="16.5546875" customWidth="1"/>
    <col min="7" max="7" width="15.21875" customWidth="1"/>
    <col min="8" max="8" width="12" customWidth="1"/>
    <col min="9" max="9" width="12.77734375" customWidth="1"/>
    <col min="10" max="10" width="9.88671875" customWidth="1"/>
    <col min="11" max="11" width="16.21875" customWidth="1"/>
    <col min="12" max="12" width="14" customWidth="1"/>
  </cols>
  <sheetData>
    <row r="1" spans="3:12" ht="21" x14ac:dyDescent="0.4">
      <c r="C1" s="10" t="s">
        <v>17</v>
      </c>
      <c r="D1" s="11"/>
      <c r="E1" s="11"/>
      <c r="F1" s="11"/>
      <c r="G1" s="11"/>
      <c r="H1" s="11"/>
      <c r="I1" s="11"/>
      <c r="J1" s="11"/>
      <c r="K1" s="11"/>
      <c r="L1" s="11"/>
    </row>
    <row r="4" spans="3:12" x14ac:dyDescent="0.3">
      <c r="C4" s="7" t="s">
        <v>0</v>
      </c>
      <c r="D4" s="8"/>
      <c r="F4" s="7" t="s">
        <v>8</v>
      </c>
      <c r="G4" s="8"/>
      <c r="I4" s="9" t="s">
        <v>14</v>
      </c>
      <c r="J4" s="9"/>
      <c r="K4" s="9"/>
      <c r="L4" s="9"/>
    </row>
    <row r="5" spans="3:12" x14ac:dyDescent="0.3">
      <c r="C5" s="6" t="s">
        <v>2</v>
      </c>
      <c r="D5" s="6" t="s">
        <v>3</v>
      </c>
      <c r="F5" s="6" t="s">
        <v>5</v>
      </c>
      <c r="G5" s="6" t="s">
        <v>6</v>
      </c>
      <c r="I5" s="6" t="s">
        <v>11</v>
      </c>
      <c r="J5" s="6" t="s">
        <v>12</v>
      </c>
      <c r="K5" s="6" t="s">
        <v>13</v>
      </c>
      <c r="L5" s="6" t="s">
        <v>10</v>
      </c>
    </row>
    <row r="6" spans="3:12" x14ac:dyDescent="0.3">
      <c r="C6" s="1" t="s">
        <v>1</v>
      </c>
      <c r="D6" s="1">
        <v>2000000</v>
      </c>
      <c r="F6" s="1" t="s">
        <v>9</v>
      </c>
      <c r="G6" s="5">
        <f>($D$6*$D$7*$D$8)</f>
        <v>4740000</v>
      </c>
      <c r="I6" s="3">
        <v>5.0000000000000001E-3</v>
      </c>
      <c r="J6" s="1">
        <f>($D$6*I6)</f>
        <v>10000</v>
      </c>
      <c r="K6" s="5">
        <f>(J6*$D$7)</f>
        <v>790000</v>
      </c>
      <c r="L6" s="5">
        <f>(K6*12)</f>
        <v>9480000</v>
      </c>
    </row>
    <row r="7" spans="3:12" x14ac:dyDescent="0.3">
      <c r="C7" s="1" t="s">
        <v>4</v>
      </c>
      <c r="D7" s="1">
        <v>79</v>
      </c>
      <c r="F7" s="1" t="s">
        <v>10</v>
      </c>
      <c r="G7" s="5">
        <f>(($D$6*$D$8*D$7)*12)</f>
        <v>56880000</v>
      </c>
      <c r="I7" s="2">
        <v>0.01</v>
      </c>
      <c r="J7" s="1">
        <f>($D$6*I7)</f>
        <v>20000</v>
      </c>
      <c r="K7" s="5">
        <f>(J7*$D$7)</f>
        <v>1580000</v>
      </c>
      <c r="L7" s="5">
        <f>(K7*12)</f>
        <v>18960000</v>
      </c>
    </row>
    <row r="8" spans="3:12" x14ac:dyDescent="0.3">
      <c r="C8" s="1" t="s">
        <v>18</v>
      </c>
      <c r="D8" s="2">
        <v>0.03</v>
      </c>
      <c r="I8" s="2">
        <v>0.03</v>
      </c>
      <c r="J8" s="1">
        <f>($D$6*I8)</f>
        <v>60000</v>
      </c>
      <c r="K8" s="5">
        <f>(J8*$D$7)</f>
        <v>4740000</v>
      </c>
      <c r="L8" s="5">
        <f t="shared" ref="L8:L9" si="0">(K8*12)</f>
        <v>56880000</v>
      </c>
    </row>
    <row r="9" spans="3:12" x14ac:dyDescent="0.3">
      <c r="I9" s="2">
        <v>0.05</v>
      </c>
      <c r="J9" s="1">
        <f>($D$6*I9)</f>
        <v>100000</v>
      </c>
      <c r="K9" s="5">
        <f>(J9*$D$7)</f>
        <v>7900000</v>
      </c>
      <c r="L9" s="5">
        <f t="shared" si="0"/>
        <v>94800000</v>
      </c>
    </row>
    <row r="11" spans="3:12" x14ac:dyDescent="0.3">
      <c r="C11" s="9" t="s">
        <v>15</v>
      </c>
      <c r="D11" s="9"/>
    </row>
    <row r="12" spans="3:12" x14ac:dyDescent="0.3">
      <c r="C12" s="6" t="s">
        <v>5</v>
      </c>
      <c r="D12" s="6" t="s">
        <v>16</v>
      </c>
    </row>
    <row r="13" spans="3:12" x14ac:dyDescent="0.3">
      <c r="C13" s="1" t="s">
        <v>7</v>
      </c>
      <c r="D13" s="4">
        <f>($D$6*$D$8)</f>
        <v>60000</v>
      </c>
    </row>
  </sheetData>
  <mergeCells count="5">
    <mergeCell ref="C4:D4"/>
    <mergeCell ref="I4:L4"/>
    <mergeCell ref="C11:D11"/>
    <mergeCell ref="F4:G4"/>
    <mergeCell ref="C1:L1"/>
  </mergeCells>
  <dataValidations count="1">
    <dataValidation type="list" allowBlank="1" showInputMessage="1" showErrorMessage="1" sqref="D8" xr:uid="{F1E19D86-8EAC-42EB-86C3-26E6FC4C2145}">
      <formula1>$I$6:$I$9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Fresia</dc:creator>
  <cp:lastModifiedBy>Lorenzo Fresia</cp:lastModifiedBy>
  <dcterms:created xsi:type="dcterms:W3CDTF">2026-03-05T02:00:08Z</dcterms:created>
  <dcterms:modified xsi:type="dcterms:W3CDTF">2026-03-05T03:12:31Z</dcterms:modified>
</cp:coreProperties>
</file>