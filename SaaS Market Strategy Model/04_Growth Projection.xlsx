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PROGETTO 2\"/>
    </mc:Choice>
  </mc:AlternateContent>
  <xr:revisionPtr revIDLastSave="0" documentId="13_ncr:1_{C8B905D1-8CF4-414C-B655-A3128B52904C}" xr6:coauthVersionLast="47" xr6:coauthVersionMax="47" xr10:uidLastSave="{00000000-0000-0000-0000-000000000000}"/>
  <bookViews>
    <workbookView xWindow="22932" yWindow="-108" windowWidth="23256" windowHeight="12456" xr2:uid="{3EB232CE-F1E1-45A2-B95B-8DF9B3D732B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I7" i="1" s="1"/>
  <c r="E8" i="1"/>
  <c r="J7" i="1" l="1"/>
  <c r="K7" i="1" s="1"/>
  <c r="I8" i="1"/>
  <c r="J8" i="1" l="1"/>
  <c r="K8" i="1" s="1"/>
  <c r="I9" i="1"/>
  <c r="J9" i="1" l="1"/>
  <c r="K9" i="1" s="1"/>
  <c r="I10" i="1"/>
  <c r="I11" i="1" l="1"/>
  <c r="J11" i="1" s="1"/>
  <c r="K11" i="1" s="1"/>
  <c r="J10" i="1"/>
  <c r="K10" i="1" s="1"/>
</calcChain>
</file>

<file path=xl/sharedStrings.xml><?xml version="1.0" encoding="utf-8"?>
<sst xmlns="http://schemas.openxmlformats.org/spreadsheetml/2006/main" count="17" uniqueCount="17">
  <si>
    <t>INPUT</t>
  </si>
  <si>
    <t>Variable</t>
  </si>
  <si>
    <t>Value</t>
  </si>
  <si>
    <t>Initial Users</t>
  </si>
  <si>
    <t>Monthly Price</t>
  </si>
  <si>
    <t>Annual Growth Rate</t>
  </si>
  <si>
    <t>Year</t>
  </si>
  <si>
    <t>Users</t>
  </si>
  <si>
    <t>Monthly Revenue</t>
  </si>
  <si>
    <t>Annual Revenue</t>
  </si>
  <si>
    <t>Year 1</t>
  </si>
  <si>
    <t xml:space="preserve">Year 2 </t>
  </si>
  <si>
    <t>Year 3</t>
  </si>
  <si>
    <t>Year 4</t>
  </si>
  <si>
    <t>Year 5</t>
  </si>
  <si>
    <t xml:space="preserve">       5-Year Growth Projection</t>
  </si>
  <si>
    <t>REVENUE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</si>
</sst>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DKK]\ * #,##0_-;\-[$DKK]\ * #,##0_-;_-[$DKK]\ 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9" fontId="0" fillId="0" borderId="1" xfId="1" applyFont="1" applyBorder="1"/>
    <xf numFmtId="43" fontId="0" fillId="0" borderId="1" xfId="0" applyNumberForma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Sheet1!$K$6</c:f>
              <c:strCache>
                <c:ptCount val="1"/>
                <c:pt idx="0">
                  <c:v>Annual Revenue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Sheet1!$H$7:$H$11</c:f>
              <c:strCache>
                <c:ptCount val="5"/>
                <c:pt idx="0">
                  <c:v>Year 1</c:v>
                </c:pt>
                <c:pt idx="1">
                  <c:v>Year 2 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Sheet1!$K$7:$K$11</c:f>
              <c:numCache>
                <c:formatCode>_-[$DKK]\ * #,##0_-;\-[$DKK]\ * #,##0_-;_-[$DKK]\ * "-"??_-;_-@_-</c:formatCode>
                <c:ptCount val="5"/>
                <c:pt idx="0">
                  <c:v>56880000</c:v>
                </c:pt>
                <c:pt idx="1">
                  <c:v>79632000</c:v>
                </c:pt>
                <c:pt idx="2">
                  <c:v>111484799.99999997</c:v>
                </c:pt>
                <c:pt idx="3">
                  <c:v>156078719.99999997</c:v>
                </c:pt>
                <c:pt idx="4">
                  <c:v>218510207.99999994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A-40A6-ABBE-AA162C7C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398112"/>
        <c:axId val="1202398944"/>
      </c:lineChart>
      <c:catAx>
        <c:axId val="120239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98944"/>
        <c:crosses val="autoZero"/>
        <c:auto val="1"/>
        <c:lblAlgn val="ctr"/>
        <c:lblOffset val="100"/>
        <c:noMultiLvlLbl val="0"/>
      </c:catAx>
      <c:valAx>
        <c:axId val="120239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DKK]\ * #,##0_-;\-[$DKK]\ * #,##0_-;_-[$DKK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9811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11</xdr:row>
      <xdr:rowOff>156210</xdr:rowOff>
    </xdr:from>
    <xdr:to>
      <xdr:col>8</xdr:col>
      <xdr:colOff>22860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0B830-9E7A-46C1-8BC4-AD18F3617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3_Revenue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">
          <cell r="D7">
            <v>79</v>
          </cell>
        </row>
        <row r="13">
          <cell r="D13">
            <v>60000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8120-4567-4B1A-999C-9A4127EE1D53}">
  <dimension ref="D1:L11"/>
  <sheetViews>
    <sheetView showGridLines="0" tabSelected="1" workbookViewId="0">
      <selection activeCell="E7" sqref="E7"/>
    </sheetView>
  </sheetViews>
  <sheetFormatPr defaultRowHeight="14.4" x14ac:dyDescent="0.3"/>
  <cols>
    <col min="4" max="4" width="17.6640625" customWidth="1"/>
    <col min="5" max="5" width="13.6640625" customWidth="1"/>
    <col min="8" max="8" width="16.88671875" customWidth="1"/>
    <col min="9" max="9" width="11.33203125" bestFit="1" customWidth="1"/>
    <col min="10" max="10" width="19.6640625" customWidth="1"/>
    <col min="11" max="11" width="18.77734375" customWidth="1"/>
  </cols>
  <sheetData>
    <row r="1" spans="4:12" ht="21" x14ac:dyDescent="0.4">
      <c r="D1" s="13" t="s">
        <v>15</v>
      </c>
      <c r="E1" s="14"/>
      <c r="F1" s="14"/>
      <c r="G1" s="14"/>
      <c r="H1" s="14"/>
      <c r="I1" s="14"/>
      <c r="J1" s="14"/>
      <c r="K1" s="14"/>
    </row>
    <row r="5" spans="4:12" x14ac:dyDescent="0.3">
      <c r="D5" s="9" t="s">
        <v>0</v>
      </c>
      <c r="E5" s="9"/>
      <c r="H5" s="10" t="s">
        <v>16</v>
      </c>
      <c r="I5" s="11"/>
      <c r="J5" s="11"/>
      <c r="K5" s="12"/>
      <c r="L5" s="4"/>
    </row>
    <row r="6" spans="4:12" x14ac:dyDescent="0.3">
      <c r="D6" s="6" t="s">
        <v>1</v>
      </c>
      <c r="E6" s="6" t="s">
        <v>2</v>
      </c>
      <c r="H6" s="6" t="s">
        <v>6</v>
      </c>
      <c r="I6" s="6" t="s">
        <v>7</v>
      </c>
      <c r="J6" s="6" t="s">
        <v>8</v>
      </c>
      <c r="K6" s="6" t="s">
        <v>9</v>
      </c>
      <c r="L6" s="5"/>
    </row>
    <row r="7" spans="4:12" x14ac:dyDescent="0.3">
      <c r="D7" s="1" t="s">
        <v>3</v>
      </c>
      <c r="E7" s="8">
        <f>[1]Sheet1!$D$13</f>
        <v>60000</v>
      </c>
      <c r="H7" s="1" t="s">
        <v>10</v>
      </c>
      <c r="I7" s="3">
        <f>E7</f>
        <v>60000</v>
      </c>
      <c r="J7" s="7">
        <f>(I7*E8)</f>
        <v>4740000</v>
      </c>
      <c r="K7" s="7">
        <f>(J7*12)</f>
        <v>56880000</v>
      </c>
    </row>
    <row r="8" spans="4:12" x14ac:dyDescent="0.3">
      <c r="D8" s="1" t="s">
        <v>4</v>
      </c>
      <c r="E8" s="1">
        <f>[1]Sheet1!$D$7</f>
        <v>79</v>
      </c>
      <c r="H8" s="1" t="s">
        <v>11</v>
      </c>
      <c r="I8" s="3">
        <f>I7*(1+E9)</f>
        <v>84000</v>
      </c>
      <c r="J8" s="7">
        <f>(I8*E8)</f>
        <v>6636000</v>
      </c>
      <c r="K8" s="7">
        <f t="shared" ref="K8:K11" si="0">(J8*12)</f>
        <v>79632000</v>
      </c>
    </row>
    <row r="9" spans="4:12" x14ac:dyDescent="0.3">
      <c r="D9" s="1" t="s">
        <v>5</v>
      </c>
      <c r="E9" s="2">
        <v>0.4</v>
      </c>
      <c r="H9" s="1" t="s">
        <v>12</v>
      </c>
      <c r="I9" s="3">
        <f>I8*(1+E9)</f>
        <v>117599.99999999999</v>
      </c>
      <c r="J9" s="7">
        <f>(E8*I9)</f>
        <v>9290399.9999999981</v>
      </c>
      <c r="K9" s="7">
        <f t="shared" si="0"/>
        <v>111484799.99999997</v>
      </c>
    </row>
    <row r="10" spans="4:12" x14ac:dyDescent="0.3">
      <c r="H10" s="1" t="s">
        <v>13</v>
      </c>
      <c r="I10" s="3">
        <f>I9*(1+E9)</f>
        <v>164639.99999999997</v>
      </c>
      <c r="J10" s="7">
        <f>(I10*E8)</f>
        <v>13006559.999999998</v>
      </c>
      <c r="K10" s="7">
        <f t="shared" si="0"/>
        <v>156078719.99999997</v>
      </c>
    </row>
    <row r="11" spans="4:12" x14ac:dyDescent="0.3">
      <c r="H11" s="1" t="s">
        <v>14</v>
      </c>
      <c r="I11" s="3">
        <f>I10*(1+E9)</f>
        <v>230495.99999999994</v>
      </c>
      <c r="J11" s="7">
        <f>I11*E8</f>
        <v>18209183.999999996</v>
      </c>
      <c r="K11" s="7">
        <f t="shared" si="0"/>
        <v>218510207.99999994</v>
      </c>
    </row>
  </sheetData>
  <mergeCells count="3">
    <mergeCell ref="D5:E5"/>
    <mergeCell ref="H5:K5"/>
    <mergeCell ref="D1: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2026-03-05T02:39:28Z</dcterms:created>
  <dcterms:modified xsi:type="dcterms:W3CDTF">2026-03-05T03:12:34Z</dcterms:modified>
</cp:coreProperties>
</file>